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andon\Downloads\"/>
    </mc:Choice>
  </mc:AlternateContent>
  <xr:revisionPtr revIDLastSave="0" documentId="13_ncr:1_{4CB51A23-8381-4B7A-9A46-A5C3DDAB2C8A}" xr6:coauthVersionLast="47" xr6:coauthVersionMax="47" xr10:uidLastSave="{00000000-0000-0000-0000-000000000000}"/>
  <bookViews>
    <workbookView xWindow="-110" yWindow="-110" windowWidth="19420" windowHeight="11500" xr2:uid="{B4786660-3149-4776-A98D-B52CC960733C}"/>
  </bookViews>
  <sheets>
    <sheet name="Mas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4" i="1" l="1"/>
  <c r="L33" i="1"/>
  <c r="L35" i="1" s="1"/>
  <c r="N32" i="1"/>
  <c r="L25" i="1"/>
  <c r="L24" i="1"/>
  <c r="K24" i="1" s="1"/>
  <c r="O23" i="1"/>
  <c r="O22" i="1"/>
  <c r="O21" i="1"/>
  <c r="L20" i="1"/>
  <c r="O19" i="1"/>
  <c r="O18" i="1"/>
  <c r="N17" i="1"/>
  <c r="O17" i="1" s="1"/>
  <c r="M16" i="1"/>
  <c r="L16" i="1"/>
  <c r="K16" i="1"/>
  <c r="O15" i="1"/>
  <c r="L14" i="1"/>
  <c r="N14" i="1" s="1"/>
  <c r="O14" i="1" s="1"/>
  <c r="L13" i="1"/>
  <c r="M13" i="1" s="1"/>
  <c r="L12" i="1"/>
  <c r="N12" i="1" s="1"/>
  <c r="O12" i="1" s="1"/>
  <c r="L11" i="1"/>
  <c r="L10" i="1"/>
  <c r="M10" i="1" s="1"/>
  <c r="K10" i="1"/>
  <c r="N10" i="1" s="1"/>
  <c r="O10" i="1" s="1"/>
  <c r="L7" i="1"/>
  <c r="K7" i="1"/>
  <c r="K27" i="1" s="1"/>
  <c r="O6" i="1"/>
  <c r="L27" i="1" l="1"/>
  <c r="L37" i="1" s="1"/>
  <c r="N16" i="1"/>
  <c r="O16" i="1" s="1"/>
  <c r="N24" i="1"/>
  <c r="O24" i="1" s="1"/>
  <c r="K33" i="1"/>
  <c r="N13" i="1"/>
  <c r="O13" i="1" s="1"/>
  <c r="M20" i="1"/>
  <c r="N20" i="1" s="1"/>
  <c r="O20" i="1" s="1"/>
  <c r="M25" i="1"/>
  <c r="N25" i="1" s="1"/>
  <c r="O25" i="1" s="1"/>
  <c r="M7" i="1"/>
  <c r="N7" i="1"/>
  <c r="O7" i="1" s="1"/>
  <c r="M11" i="1"/>
  <c r="N11" i="1" s="1"/>
  <c r="O11" i="1" s="1"/>
  <c r="M27" i="1" l="1"/>
  <c r="K35" i="1"/>
  <c r="M33" i="1"/>
  <c r="M35" i="1" s="1"/>
  <c r="M37" i="1" l="1"/>
  <c r="N33" i="1"/>
  <c r="O33" i="1" s="1"/>
  <c r="K37" i="1"/>
</calcChain>
</file>

<file path=xl/sharedStrings.xml><?xml version="1.0" encoding="utf-8"?>
<sst xmlns="http://schemas.openxmlformats.org/spreadsheetml/2006/main" count="196" uniqueCount="171">
  <si>
    <t>Note: Sample size - newly launched projects within last 3 years (from 2023), pricing RM1,000 +- per sqft</t>
  </si>
  <si>
    <t>Highrise</t>
  </si>
  <si>
    <t>Project Name</t>
  </si>
  <si>
    <t>Total Units</t>
  </si>
  <si>
    <t>Landed</t>
  </si>
  <si>
    <t>No</t>
  </si>
  <si>
    <t>Typical Floor Area (sq. ft.)</t>
  </si>
  <si>
    <t>Developer’s Selling Price (RM)</t>
  </si>
  <si>
    <t>Developer’s Selling Price (RM psf)</t>
  </si>
  <si>
    <t>Transacted Price (RM)</t>
  </si>
  <si>
    <t>Transacted Price (RM psf)</t>
  </si>
  <si>
    <t>Launched year / Estimated Completion</t>
  </si>
  <si>
    <t>Absorption units</t>
  </si>
  <si>
    <t>Total Sold Units (as at 10 June)</t>
  </si>
  <si>
    <t>Sales / Booking Rate (%)</t>
  </si>
  <si>
    <t>1H 2026</t>
  </si>
  <si>
    <t xml:space="preserve">Noordinz Suites </t>
  </si>
  <si>
    <t>550 – 1,100</t>
  </si>
  <si>
    <t>682,870 - 1,069,385</t>
  </si>
  <si>
    <t>972 - 1242</t>
  </si>
  <si>
    <t>593,800 - 1,031,100</t>
  </si>
  <si>
    <t>937 - 1,080</t>
  </si>
  <si>
    <t>2023 / Q3 2027</t>
  </si>
  <si>
    <t>Queens Residences Q3</t>
  </si>
  <si>
    <t>950 – 1,400</t>
  </si>
  <si>
    <t>1,101,700 - 3,336,000</t>
  </si>
  <si>
    <t>1,160 - 2,383</t>
  </si>
  <si>
    <t>862,200 - 2,894,760</t>
  </si>
  <si>
    <t>908 - 2,068</t>
  </si>
  <si>
    <t>Ventus &amp; Tradesmen</t>
  </si>
  <si>
    <t>409 – 829</t>
  </si>
  <si>
    <t>480,000 onwards</t>
  </si>
  <si>
    <t>1,174 onwards</t>
  </si>
  <si>
    <t>2024 / Q1 2028</t>
  </si>
  <si>
    <t>Booking: 60</t>
  </si>
  <si>
    <t xml:space="preserve">STARK Tower </t>
  </si>
  <si>
    <t>425 – 640</t>
  </si>
  <si>
    <t>600,000 onwards</t>
  </si>
  <si>
    <t>1,412 onwards</t>
  </si>
  <si>
    <t>2024 / 4Q 2027</t>
  </si>
  <si>
    <t>The Lume</t>
  </si>
  <si>
    <t>1,722 – 2,874</t>
  </si>
  <si>
    <t>1,775,300 - 3,871,425</t>
  </si>
  <si>
    <t>1,031 - 1,347</t>
  </si>
  <si>
    <t>1,670,100 - 3,820,000</t>
  </si>
  <si>
    <t>970 - 1,329</t>
  </si>
  <si>
    <t>Maris</t>
  </si>
  <si>
    <t>979 – 1,250</t>
  </si>
  <si>
    <t>904,000 - 2,131,000</t>
  </si>
  <si>
    <t>923 - 1,572</t>
  </si>
  <si>
    <t>883,500 - 1,772,000</t>
  </si>
  <si>
    <t>902 - 1,418</t>
  </si>
  <si>
    <t>Westin Residences Penang</t>
  </si>
  <si>
    <t>1,033 – 1,604</t>
  </si>
  <si>
    <t>2,059,750 - 3,670,100</t>
  </si>
  <si>
    <t>1,994 - 2,288</t>
  </si>
  <si>
    <t>1,921,000 - 3,501,000</t>
  </si>
  <si>
    <t>1,860 - 2,183</t>
  </si>
  <si>
    <t>G’Vinton</t>
  </si>
  <si>
    <t>387 – 474</t>
  </si>
  <si>
    <t>723,000 - 823,000</t>
  </si>
  <si>
    <t>1,736 - 1,868</t>
  </si>
  <si>
    <t>595,500 - 682,500</t>
  </si>
  <si>
    <t>1,440 - 1,539</t>
  </si>
  <si>
    <t>Lumina Residence</t>
  </si>
  <si>
    <t>1,206 – 1,346</t>
  </si>
  <si>
    <t>1,176,450 - 1,672,100</t>
  </si>
  <si>
    <t>976 - 1,242</t>
  </si>
  <si>
    <t>1,030,000 - 1,614,000</t>
  </si>
  <si>
    <t>854 - 1,200</t>
  </si>
  <si>
    <t>The Anton</t>
  </si>
  <si>
    <t>2,702 – 3,100</t>
  </si>
  <si>
    <t>4,755,000 - 5,517,000</t>
  </si>
  <si>
    <t>1,760 - 1,780</t>
  </si>
  <si>
    <t>3,003,000 - 5,052,000</t>
  </si>
  <si>
    <t>1,111 - 1,630</t>
  </si>
  <si>
    <t>2024 / Q4 2026</t>
  </si>
  <si>
    <t>The Crown</t>
  </si>
  <si>
    <t>614 – 840</t>
  </si>
  <si>
    <t>783,000 - 1,153,000</t>
  </si>
  <si>
    <t>1,275 - 1,373</t>
  </si>
  <si>
    <t>704,000 - 1,081,000</t>
  </si>
  <si>
    <t>1,147 - 1,287</t>
  </si>
  <si>
    <t>2023 / Q4 2028</t>
  </si>
  <si>
    <t>Scott @ Logan</t>
  </si>
  <si>
    <t>335 – 550</t>
  </si>
  <si>
    <t>486,800 - 782,800</t>
  </si>
  <si>
    <t>1,423 - 1,453</t>
  </si>
  <si>
    <t>473,800 - 782,800</t>
  </si>
  <si>
    <t>1,414 - 1,423</t>
  </si>
  <si>
    <t xml:space="preserve">Alton Skyvillas </t>
  </si>
  <si>
    <t>1,132 – 1,687</t>
  </si>
  <si>
    <t>928,560 - 1,360,000</t>
  </si>
  <si>
    <t>806 - 820</t>
  </si>
  <si>
    <t>898,560 - 1,360,000</t>
  </si>
  <si>
    <t>794 - 806</t>
  </si>
  <si>
    <t>Lightwater Residences</t>
  </si>
  <si>
    <t>1,152 – 1,690</t>
  </si>
  <si>
    <t>2,390,000 - 3,876,000</t>
  </si>
  <si>
    <t>2,075 - 2293</t>
  </si>
  <si>
    <t>2,055,000 - 3,507,000</t>
  </si>
  <si>
    <t>1,784 - 2,075</t>
  </si>
  <si>
    <t>The Lighthauz</t>
  </si>
  <si>
    <t>732 – 1,001</t>
  </si>
  <si>
    <t>890,435 - 1,208,911</t>
  </si>
  <si>
    <t>1,208 - 1,216</t>
  </si>
  <si>
    <t>864,500 - 1,173,700</t>
  </si>
  <si>
    <t>1,173 - 1,181</t>
  </si>
  <si>
    <t>Avea</t>
  </si>
  <si>
    <t>678 - 1,076</t>
  </si>
  <si>
    <t>751,300 - 1,838,100</t>
  </si>
  <si>
    <t>1,108 - 1,708</t>
  </si>
  <si>
    <t>683,000 - 1,671,000</t>
  </si>
  <si>
    <t>1,007 - 1,553</t>
  </si>
  <si>
    <t>Setia SV2</t>
  </si>
  <si>
    <t>1,058 - 1,652</t>
  </si>
  <si>
    <t>1,289,641 - 1,604,000</t>
  </si>
  <si>
    <t>970 - 1,219</t>
  </si>
  <si>
    <t>1,168,000 - 1,604,000</t>
  </si>
  <si>
    <t>970 - 1,104</t>
  </si>
  <si>
    <t>Keeperz Suites</t>
  </si>
  <si>
    <t>484 - 581</t>
  </si>
  <si>
    <t>857,578 - 1,036,077</t>
  </si>
  <si>
    <t>1,772 - 1,783</t>
  </si>
  <si>
    <t>832600 - 1,001,000</t>
  </si>
  <si>
    <t xml:space="preserve">Avion </t>
  </si>
  <si>
    <t>488 - 1,328</t>
  </si>
  <si>
    <t>430,578 - 1,224,000</t>
  </si>
  <si>
    <t>882 - 922</t>
  </si>
  <si>
    <t>Bayan Suite</t>
  </si>
  <si>
    <t>592 - 872</t>
  </si>
  <si>
    <t>511,900 - 848,800</t>
  </si>
  <si>
    <t>865 - 973</t>
  </si>
  <si>
    <t>Subtotal</t>
  </si>
  <si>
    <t>Total Sold Units</t>
  </si>
  <si>
    <t xml:space="preserve">Fera </t>
  </si>
  <si>
    <t>3,615 - 4,015</t>
  </si>
  <si>
    <t>3,856,000 - 4,700,000</t>
  </si>
  <si>
    <t>1,067 - 1,171</t>
  </si>
  <si>
    <t>3,704,400 - 4,600,000</t>
  </si>
  <si>
    <t>1,025 - 1,146</t>
  </si>
  <si>
    <t>Senna</t>
  </si>
  <si>
    <t>4,637 - 5,337</t>
  </si>
  <si>
    <t>4,978,000 - 5,990,000</t>
  </si>
  <si>
    <t>1,074 - 1,122</t>
  </si>
  <si>
    <t>4,780,000 - 5,760,000</t>
  </si>
  <si>
    <t>1,031 - 1,079</t>
  </si>
  <si>
    <t>Phase 3: 87.5%, Phase 4: 100%</t>
  </si>
  <si>
    <t>Jesselton Courtyard</t>
  </si>
  <si>
    <t>2,734 - 5,488</t>
  </si>
  <si>
    <t>3,322,000 - 8,280,000</t>
  </si>
  <si>
    <t>1,215 - 1,509</t>
  </si>
  <si>
    <t>2,734,000 - 6,744,000</t>
  </si>
  <si>
    <t>1,000 - 1,229</t>
  </si>
  <si>
    <t>2024 / Q2 2027</t>
  </si>
  <si>
    <t>Total</t>
  </si>
  <si>
    <t>1,420 - 1,723</t>
  </si>
  <si>
    <t>Q3 2023 / Q4 2027</t>
  </si>
  <si>
    <t>Q2 2024 / Q1 2029</t>
  </si>
  <si>
    <t>Q4 2025 / Q3 2029</t>
  </si>
  <si>
    <t>Q2 2025 / Q4 2029</t>
  </si>
  <si>
    <t>Q4 2024 / Q3 2027</t>
  </si>
  <si>
    <t>Q4 2024 / Q2 2028</t>
  </si>
  <si>
    <t>Q3 2023 / Q4 2028</t>
  </si>
  <si>
    <t>Q3 2024 / Q3 2027</t>
  </si>
  <si>
    <t>Q2 2026</t>
  </si>
  <si>
    <t>Q2 2024 / Q1 2027</t>
  </si>
  <si>
    <t>Q4 2025 / Q4 2028</t>
  </si>
  <si>
    <t>Q1 2026 / Q1 2029</t>
  </si>
  <si>
    <t>Q1 2024 / Q1 2027</t>
  </si>
  <si>
    <t>Q2 2024 / Q4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</si>
</sst>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80808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2" borderId="2" xfId="0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left"/>
    </xf>
    <xf numFmtId="0" fontId="4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Units by Property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Master!$AI$3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rgbClr val="003F2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E33-48A2-AC62-163C3FA4AEE9}"/>
              </c:ext>
            </c:extLst>
          </c:dPt>
          <c:dPt>
            <c:idx val="1"/>
            <c:bubble3D val="0"/>
            <c:spPr>
              <a:solidFill>
                <a:srgbClr val="006A4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33-48A2-AC62-163C3FA4AEE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Master!$AH$4:$AH$5</c:f>
              <c:numCache>
                <c:formatCode>General</c:formatCode>
                <c:ptCount val="2"/>
              </c:numCache>
            </c:numRef>
          </c:cat>
          <c:val>
            <c:numRef>
              <c:f>Master!$AI$4:$AI$5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FE33-48A2-AC62-163C3FA4AE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514350</xdr:colOff>
      <xdr:row>14</xdr:row>
      <xdr:rowOff>0</xdr:rowOff>
    </xdr:from>
    <xdr:to>
      <xdr:col>45</xdr:col>
      <xdr:colOff>247650</xdr:colOff>
      <xdr:row>27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4B2BD13-021D-4F0F-9D27-704FBF52D27B}"/>
            </a:ext>
            <a:ext uri="{147F2762-F138-4A5C-976F-8EAC2B608ADB}">
              <a16:predDERef xmlns:a16="http://schemas.microsoft.com/office/drawing/2014/main" pred="{B0D9FB14-AEED-34DB-72C8-8A8842074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34C29-A6E7-4FF3-BB16-9CB5C4074133}">
  <dimension ref="A1:AI38"/>
  <sheetViews>
    <sheetView tabSelected="1" topLeftCell="B4" zoomScale="90" zoomScaleNormal="90" workbookViewId="0">
      <selection activeCell="I26" sqref="I26"/>
    </sheetView>
  </sheetViews>
  <sheetFormatPr defaultColWidth="8.7265625" defaultRowHeight="15" customHeight="1" x14ac:dyDescent="0.35"/>
  <cols>
    <col min="1" max="1" width="20.54296875" style="2" customWidth="1"/>
    <col min="2" max="2" width="48.26953125" style="2" bestFit="1" customWidth="1"/>
    <col min="3" max="3" width="42.7265625" style="2" hidden="1" customWidth="1"/>
    <col min="4" max="4" width="24" style="2" hidden="1" customWidth="1"/>
    <col min="5" max="5" width="28.1796875" style="2" hidden="1" customWidth="1"/>
    <col min="6" max="6" width="31.54296875" style="2" hidden="1" customWidth="1"/>
    <col min="7" max="7" width="45" style="2" hidden="1" customWidth="1"/>
    <col min="8" max="8" width="31.54296875" style="2" hidden="1" customWidth="1"/>
    <col min="9" max="9" width="36.26953125" style="2" bestFit="1" customWidth="1"/>
    <col min="10" max="10" width="12.7265625" style="2" bestFit="1" customWidth="1"/>
    <col min="11" max="14" width="34.1796875" style="2" customWidth="1"/>
    <col min="15" max="15" width="28.54296875" style="2" customWidth="1"/>
    <col min="16" max="16" width="8.7265625" style="2"/>
    <col min="17" max="17" width="34.81640625" style="2" bestFit="1" customWidth="1"/>
    <col min="18" max="18" width="10.54296875" style="2" bestFit="1" customWidth="1"/>
    <col min="19" max="19" width="8.7265625" style="2"/>
    <col min="20" max="20" width="8.453125" style="2" bestFit="1" customWidth="1"/>
    <col min="21" max="21" width="8.54296875" style="2" bestFit="1" customWidth="1"/>
    <col min="22" max="22" width="7.7265625" style="2" bestFit="1" customWidth="1"/>
    <col min="23" max="23" width="8.7265625" style="2"/>
    <col min="24" max="24" width="24.54296875" style="2" bestFit="1" customWidth="1"/>
    <col min="25" max="25" width="13.81640625" style="2" bestFit="1" customWidth="1"/>
    <col min="26" max="26" width="8.7265625" style="2"/>
    <col min="27" max="27" width="18.26953125" style="2" bestFit="1" customWidth="1"/>
    <col min="28" max="28" width="10.54296875" style="2" bestFit="1" customWidth="1"/>
    <col min="29" max="29" width="10.453125" style="2" bestFit="1" customWidth="1"/>
    <col min="30" max="30" width="8.7265625" style="2"/>
    <col min="31" max="31" width="8.453125" style="2" bestFit="1" customWidth="1"/>
    <col min="32" max="32" width="15.81640625" style="2" bestFit="1" customWidth="1"/>
    <col min="33" max="33" width="8.7265625" style="2"/>
    <col min="34" max="34" width="13.453125" style="2" bestFit="1" customWidth="1"/>
    <col min="35" max="35" width="10.54296875" style="2" bestFit="1" customWidth="1"/>
    <col min="36" max="16384" width="8.7265625" style="2"/>
  </cols>
  <sheetData>
    <row r="1" spans="1:35" x14ac:dyDescent="0.35">
      <c r="A1" s="1" t="s">
        <v>0</v>
      </c>
      <c r="Q1" s="3"/>
    </row>
    <row r="2" spans="1:35" x14ac:dyDescent="0.35">
      <c r="A2" s="1"/>
    </row>
    <row r="3" spans="1:35" x14ac:dyDescent="0.35">
      <c r="A3" s="13" t="s">
        <v>1</v>
      </c>
      <c r="B3" s="13"/>
      <c r="Q3" s="4"/>
      <c r="R3" s="4"/>
      <c r="T3" s="4"/>
      <c r="U3" s="4"/>
      <c r="V3" s="4"/>
      <c r="X3" s="4"/>
      <c r="Y3" s="4"/>
      <c r="AA3" s="4"/>
      <c r="AB3" s="4"/>
      <c r="AC3" s="4"/>
      <c r="AE3" s="4"/>
      <c r="AF3" s="4"/>
      <c r="AH3" s="4"/>
      <c r="AI3" s="4"/>
    </row>
    <row r="4" spans="1:35" x14ac:dyDescent="0.35">
      <c r="A4" s="14" t="s">
        <v>5</v>
      </c>
      <c r="B4" s="14" t="s">
        <v>2</v>
      </c>
      <c r="C4" s="14" t="s">
        <v>3</v>
      </c>
      <c r="D4" s="14" t="s">
        <v>6</v>
      </c>
      <c r="E4" s="14" t="s">
        <v>7</v>
      </c>
      <c r="F4" s="14" t="s">
        <v>8</v>
      </c>
      <c r="G4" s="17" t="s">
        <v>9</v>
      </c>
      <c r="H4" s="17" t="s">
        <v>10</v>
      </c>
      <c r="I4" s="14" t="s">
        <v>11</v>
      </c>
      <c r="J4" s="19" t="s">
        <v>12</v>
      </c>
      <c r="K4" s="20"/>
      <c r="L4" s="20"/>
      <c r="M4" s="20"/>
      <c r="N4" s="15" t="s">
        <v>13</v>
      </c>
      <c r="O4" s="17" t="s">
        <v>14</v>
      </c>
    </row>
    <row r="5" spans="1:35" x14ac:dyDescent="0.35">
      <c r="A5" s="14"/>
      <c r="B5" s="14"/>
      <c r="C5" s="14"/>
      <c r="D5" s="14"/>
      <c r="E5" s="14"/>
      <c r="F5" s="14"/>
      <c r="G5" s="18"/>
      <c r="H5" s="18"/>
      <c r="I5" s="14"/>
      <c r="J5" s="5">
        <v>2023</v>
      </c>
      <c r="K5" s="5">
        <v>2024</v>
      </c>
      <c r="L5" s="5">
        <v>2025</v>
      </c>
      <c r="M5" s="5" t="s">
        <v>15</v>
      </c>
      <c r="N5" s="16"/>
      <c r="O5" s="18"/>
    </row>
    <row r="6" spans="1:35" x14ac:dyDescent="0.35">
      <c r="A6" s="2">
        <v>1</v>
      </c>
      <c r="B6" s="6" t="s">
        <v>16</v>
      </c>
      <c r="C6" s="7">
        <v>603</v>
      </c>
      <c r="D6" s="7" t="s">
        <v>17</v>
      </c>
      <c r="E6" s="6" t="s">
        <v>18</v>
      </c>
      <c r="F6" s="6" t="s">
        <v>19</v>
      </c>
      <c r="G6" s="6" t="s">
        <v>20</v>
      </c>
      <c r="H6" s="6" t="s">
        <v>21</v>
      </c>
      <c r="I6" s="7" t="s">
        <v>22</v>
      </c>
      <c r="J6" s="7"/>
      <c r="K6" s="7"/>
      <c r="L6" s="7"/>
      <c r="M6" s="7"/>
      <c r="N6" s="7">
        <v>602</v>
      </c>
      <c r="O6" s="8">
        <f>N6/C6*100</f>
        <v>99.834162520729691</v>
      </c>
    </row>
    <row r="7" spans="1:35" x14ac:dyDescent="0.35">
      <c r="A7" s="2">
        <v>2</v>
      </c>
      <c r="B7" s="6" t="s">
        <v>23</v>
      </c>
      <c r="C7" s="7">
        <v>532</v>
      </c>
      <c r="D7" s="7" t="s">
        <v>24</v>
      </c>
      <c r="E7" s="6" t="s">
        <v>25</v>
      </c>
      <c r="F7" s="6" t="s">
        <v>26</v>
      </c>
      <c r="G7" s="9" t="s">
        <v>27</v>
      </c>
      <c r="H7" s="6" t="s">
        <v>28</v>
      </c>
      <c r="I7" s="7" t="s">
        <v>157</v>
      </c>
      <c r="J7" s="7"/>
      <c r="K7" s="7">
        <f>L7/2+0.5</f>
        <v>77</v>
      </c>
      <c r="L7" s="7">
        <f>306/2</f>
        <v>153</v>
      </c>
      <c r="M7" s="7">
        <f>L7-K7</f>
        <v>76</v>
      </c>
      <c r="N7" s="7">
        <f>SUM(K7:M7)</f>
        <v>306</v>
      </c>
      <c r="O7" s="8">
        <f>N7/C7*100</f>
        <v>57.518796992481199</v>
      </c>
    </row>
    <row r="8" spans="1:35" x14ac:dyDescent="0.35">
      <c r="A8" s="2">
        <v>3</v>
      </c>
      <c r="B8" s="6" t="s">
        <v>29</v>
      </c>
      <c r="C8" s="7">
        <v>397</v>
      </c>
      <c r="D8" s="7" t="s">
        <v>30</v>
      </c>
      <c r="E8" s="6" t="s">
        <v>31</v>
      </c>
      <c r="F8" s="6" t="s">
        <v>32</v>
      </c>
      <c r="G8" s="6" t="s">
        <v>31</v>
      </c>
      <c r="H8" s="6" t="s">
        <v>32</v>
      </c>
      <c r="I8" s="7" t="s">
        <v>33</v>
      </c>
      <c r="J8" s="7"/>
      <c r="K8" s="7"/>
      <c r="L8" s="7"/>
      <c r="M8" s="7"/>
      <c r="N8" s="7"/>
      <c r="O8" s="10" t="s">
        <v>34</v>
      </c>
    </row>
    <row r="9" spans="1:35" x14ac:dyDescent="0.35">
      <c r="A9" s="2">
        <v>4</v>
      </c>
      <c r="B9" s="6" t="s">
        <v>35</v>
      </c>
      <c r="C9" s="7">
        <v>618</v>
      </c>
      <c r="D9" s="7" t="s">
        <v>36</v>
      </c>
      <c r="E9" s="6" t="s">
        <v>37</v>
      </c>
      <c r="F9" s="6" t="s">
        <v>38</v>
      </c>
      <c r="G9" s="6" t="s">
        <v>37</v>
      </c>
      <c r="H9" s="6" t="s">
        <v>38</v>
      </c>
      <c r="I9" s="7" t="s">
        <v>39</v>
      </c>
      <c r="J9" s="7"/>
      <c r="K9" s="7"/>
      <c r="L9" s="7"/>
      <c r="M9" s="7"/>
      <c r="N9" s="7"/>
      <c r="O9" s="10" t="s">
        <v>34</v>
      </c>
    </row>
    <row r="10" spans="1:35" x14ac:dyDescent="0.35">
      <c r="A10" s="2">
        <v>5</v>
      </c>
      <c r="B10" s="6" t="s">
        <v>40</v>
      </c>
      <c r="C10" s="7">
        <v>261</v>
      </c>
      <c r="D10" s="7" t="s">
        <v>41</v>
      </c>
      <c r="E10" s="6" t="s">
        <v>42</v>
      </c>
      <c r="F10" s="6" t="s">
        <v>43</v>
      </c>
      <c r="G10" s="9" t="s">
        <v>44</v>
      </c>
      <c r="H10" s="6" t="s">
        <v>45</v>
      </c>
      <c r="I10" s="7" t="s">
        <v>158</v>
      </c>
      <c r="J10" s="7"/>
      <c r="K10" s="7">
        <f>L10/2-0.5</f>
        <v>49</v>
      </c>
      <c r="L10" s="7">
        <f>197/2+0.5</f>
        <v>99</v>
      </c>
      <c r="M10" s="7">
        <f>L10/2-0.5</f>
        <v>49</v>
      </c>
      <c r="N10" s="7">
        <f>SUM(K10:M10)</f>
        <v>197</v>
      </c>
      <c r="O10" s="8">
        <f t="shared" ref="O10:O25" si="0">N10/C10*100</f>
        <v>75.47892720306514</v>
      </c>
    </row>
    <row r="11" spans="1:35" x14ac:dyDescent="0.35">
      <c r="A11" s="2">
        <v>6</v>
      </c>
      <c r="B11" s="6" t="s">
        <v>46</v>
      </c>
      <c r="C11" s="7">
        <v>516</v>
      </c>
      <c r="D11" s="7" t="s">
        <v>47</v>
      </c>
      <c r="E11" s="6" t="s">
        <v>48</v>
      </c>
      <c r="F11" s="6" t="s">
        <v>49</v>
      </c>
      <c r="G11" s="6" t="s">
        <v>50</v>
      </c>
      <c r="H11" s="6" t="s">
        <v>51</v>
      </c>
      <c r="I11" s="7" t="s">
        <v>159</v>
      </c>
      <c r="J11" s="7"/>
      <c r="K11" s="7"/>
      <c r="L11" s="7">
        <f>321/1.5</f>
        <v>214</v>
      </c>
      <c r="M11" s="7">
        <f>321-L11</f>
        <v>107</v>
      </c>
      <c r="N11" s="7">
        <f>SUM(K11:M11)</f>
        <v>321</v>
      </c>
      <c r="O11" s="8">
        <f t="shared" si="0"/>
        <v>62.209302325581397</v>
      </c>
    </row>
    <row r="12" spans="1:35" x14ac:dyDescent="0.35">
      <c r="A12" s="2">
        <v>7</v>
      </c>
      <c r="B12" s="6" t="s">
        <v>52</v>
      </c>
      <c r="C12" s="7">
        <v>498</v>
      </c>
      <c r="D12" s="7" t="s">
        <v>53</v>
      </c>
      <c r="E12" s="6" t="s">
        <v>54</v>
      </c>
      <c r="F12" s="6" t="s">
        <v>55</v>
      </c>
      <c r="G12" s="6" t="s">
        <v>56</v>
      </c>
      <c r="H12" s="6" t="s">
        <v>57</v>
      </c>
      <c r="I12" s="7" t="s">
        <v>160</v>
      </c>
      <c r="J12" s="7"/>
      <c r="K12" s="7"/>
      <c r="L12" s="7">
        <f>388-M12</f>
        <v>259</v>
      </c>
      <c r="M12" s="7">
        <v>129</v>
      </c>
      <c r="N12" s="7">
        <f>SUM(K12:M12)</f>
        <v>388</v>
      </c>
      <c r="O12" s="8">
        <f t="shared" si="0"/>
        <v>77.911646586345384</v>
      </c>
    </row>
    <row r="13" spans="1:35" x14ac:dyDescent="0.35">
      <c r="A13" s="2">
        <v>8</v>
      </c>
      <c r="B13" s="6" t="s">
        <v>58</v>
      </c>
      <c r="C13" s="7">
        <v>508</v>
      </c>
      <c r="D13" s="7" t="s">
        <v>59</v>
      </c>
      <c r="E13" s="6" t="s">
        <v>60</v>
      </c>
      <c r="F13" s="6" t="s">
        <v>61</v>
      </c>
      <c r="G13" s="9" t="s">
        <v>62</v>
      </c>
      <c r="H13" s="6" t="s">
        <v>63</v>
      </c>
      <c r="I13" s="7" t="s">
        <v>161</v>
      </c>
      <c r="J13" s="7"/>
      <c r="K13" s="7"/>
      <c r="L13" s="7">
        <f>24/1.5</f>
        <v>16</v>
      </c>
      <c r="M13" s="7">
        <f>24-L13</f>
        <v>8</v>
      </c>
      <c r="N13" s="7">
        <f t="shared" ref="N13:N14" si="1">SUM(K13:M13)</f>
        <v>24</v>
      </c>
      <c r="O13" s="8">
        <f t="shared" si="0"/>
        <v>4.7244094488188972</v>
      </c>
    </row>
    <row r="14" spans="1:35" x14ac:dyDescent="0.35">
      <c r="A14" s="2">
        <v>9</v>
      </c>
      <c r="B14" s="6" t="s">
        <v>64</v>
      </c>
      <c r="C14" s="7">
        <v>596</v>
      </c>
      <c r="D14" s="7" t="s">
        <v>65</v>
      </c>
      <c r="E14" s="6" t="s">
        <v>66</v>
      </c>
      <c r="F14" s="6" t="s">
        <v>67</v>
      </c>
      <c r="G14" s="6" t="s">
        <v>68</v>
      </c>
      <c r="H14" s="6" t="s">
        <v>69</v>
      </c>
      <c r="I14" s="7" t="s">
        <v>162</v>
      </c>
      <c r="J14" s="7"/>
      <c r="K14" s="7"/>
      <c r="L14" s="7">
        <f>482-M14</f>
        <v>321</v>
      </c>
      <c r="M14" s="7">
        <v>161</v>
      </c>
      <c r="N14" s="7">
        <f t="shared" si="1"/>
        <v>482</v>
      </c>
      <c r="O14" s="8">
        <f t="shared" si="0"/>
        <v>80.872483221476514</v>
      </c>
    </row>
    <row r="15" spans="1:35" x14ac:dyDescent="0.35">
      <c r="A15" s="2">
        <v>10</v>
      </c>
      <c r="B15" s="6" t="s">
        <v>70</v>
      </c>
      <c r="C15" s="7">
        <v>51</v>
      </c>
      <c r="D15" s="7" t="s">
        <v>71</v>
      </c>
      <c r="E15" s="6" t="s">
        <v>72</v>
      </c>
      <c r="F15" s="6" t="s">
        <v>73</v>
      </c>
      <c r="G15" s="6" t="s">
        <v>74</v>
      </c>
      <c r="H15" s="6" t="s">
        <v>75</v>
      </c>
      <c r="I15" s="7" t="s">
        <v>76</v>
      </c>
      <c r="J15" s="7"/>
      <c r="K15" s="7"/>
      <c r="L15" s="7"/>
      <c r="M15" s="7"/>
      <c r="N15" s="7">
        <v>48</v>
      </c>
      <c r="O15" s="8">
        <f t="shared" si="0"/>
        <v>94.117647058823522</v>
      </c>
    </row>
    <row r="16" spans="1:35" x14ac:dyDescent="0.35">
      <c r="A16" s="2">
        <v>11</v>
      </c>
      <c r="B16" s="6" t="s">
        <v>77</v>
      </c>
      <c r="C16" s="7">
        <v>588</v>
      </c>
      <c r="D16" s="7" t="s">
        <v>78</v>
      </c>
      <c r="E16" s="6" t="s">
        <v>79</v>
      </c>
      <c r="F16" s="6" t="s">
        <v>80</v>
      </c>
      <c r="G16" s="9" t="s">
        <v>81</v>
      </c>
      <c r="H16" s="6" t="s">
        <v>82</v>
      </c>
      <c r="I16" s="7" t="s">
        <v>163</v>
      </c>
      <c r="J16" s="7"/>
      <c r="K16" s="7">
        <f>231/2+0.5</f>
        <v>116</v>
      </c>
      <c r="L16" s="7">
        <f>463/2+0.5</f>
        <v>232</v>
      </c>
      <c r="M16" s="7">
        <f>231-K16</f>
        <v>115</v>
      </c>
      <c r="N16" s="7">
        <f>SUM(K16:M16)</f>
        <v>463</v>
      </c>
      <c r="O16" s="8">
        <f t="shared" si="0"/>
        <v>78.741496598639458</v>
      </c>
    </row>
    <row r="17" spans="1:15" x14ac:dyDescent="0.35">
      <c r="A17" s="2">
        <v>12</v>
      </c>
      <c r="B17" s="6" t="s">
        <v>84</v>
      </c>
      <c r="C17" s="7">
        <v>311</v>
      </c>
      <c r="D17" s="7" t="s">
        <v>85</v>
      </c>
      <c r="E17" s="6" t="s">
        <v>86</v>
      </c>
      <c r="F17" s="6" t="s">
        <v>87</v>
      </c>
      <c r="G17" s="6" t="s">
        <v>88</v>
      </c>
      <c r="H17" s="6" t="s">
        <v>89</v>
      </c>
      <c r="I17" s="7" t="s">
        <v>164</v>
      </c>
      <c r="J17" s="7"/>
      <c r="K17" s="7">
        <v>17</v>
      </c>
      <c r="L17" s="7">
        <v>34</v>
      </c>
      <c r="M17" s="7">
        <v>18</v>
      </c>
      <c r="N17" s="7">
        <f>SUM(K17:M17)</f>
        <v>69</v>
      </c>
      <c r="O17" s="8">
        <f t="shared" si="0"/>
        <v>22.186495176848876</v>
      </c>
    </row>
    <row r="18" spans="1:15" x14ac:dyDescent="0.35">
      <c r="A18" s="2">
        <v>13</v>
      </c>
      <c r="B18" s="6" t="s">
        <v>90</v>
      </c>
      <c r="C18" s="7">
        <v>161</v>
      </c>
      <c r="D18" s="7" t="s">
        <v>91</v>
      </c>
      <c r="E18" s="6" t="s">
        <v>92</v>
      </c>
      <c r="F18" s="6" t="s">
        <v>93</v>
      </c>
      <c r="G18" s="6" t="s">
        <v>94</v>
      </c>
      <c r="H18" s="6" t="s">
        <v>95</v>
      </c>
      <c r="I18" s="7" t="s">
        <v>165</v>
      </c>
      <c r="J18" s="7"/>
      <c r="K18" s="7"/>
      <c r="L18" s="7"/>
      <c r="M18" s="7">
        <v>109</v>
      </c>
      <c r="N18" s="7">
        <v>109</v>
      </c>
      <c r="O18" s="8">
        <f t="shared" si="0"/>
        <v>67.701863354037258</v>
      </c>
    </row>
    <row r="19" spans="1:15" x14ac:dyDescent="0.35">
      <c r="A19" s="2">
        <v>14</v>
      </c>
      <c r="B19" s="6" t="s">
        <v>96</v>
      </c>
      <c r="C19" s="7">
        <v>262</v>
      </c>
      <c r="D19" s="7" t="s">
        <v>97</v>
      </c>
      <c r="E19" s="6" t="s">
        <v>98</v>
      </c>
      <c r="F19" s="6" t="s">
        <v>99</v>
      </c>
      <c r="G19" s="9" t="s">
        <v>100</v>
      </c>
      <c r="H19" s="6" t="s">
        <v>101</v>
      </c>
      <c r="I19" s="7" t="s">
        <v>166</v>
      </c>
      <c r="J19" s="7"/>
      <c r="K19" s="7">
        <v>10</v>
      </c>
      <c r="L19" s="7">
        <v>21</v>
      </c>
      <c r="M19" s="7">
        <v>11</v>
      </c>
      <c r="N19" s="7">
        <v>32</v>
      </c>
      <c r="O19" s="8">
        <f t="shared" si="0"/>
        <v>12.213740458015266</v>
      </c>
    </row>
    <row r="20" spans="1:15" x14ac:dyDescent="0.35">
      <c r="A20" s="2">
        <v>15</v>
      </c>
      <c r="B20" s="6" t="s">
        <v>102</v>
      </c>
      <c r="C20" s="7">
        <v>671</v>
      </c>
      <c r="D20" s="7" t="s">
        <v>103</v>
      </c>
      <c r="E20" s="6" t="s">
        <v>104</v>
      </c>
      <c r="F20" s="6" t="s">
        <v>105</v>
      </c>
      <c r="G20" s="6" t="s">
        <v>106</v>
      </c>
      <c r="H20" s="6" t="s">
        <v>107</v>
      </c>
      <c r="I20" s="7" t="s">
        <v>167</v>
      </c>
      <c r="J20" s="7"/>
      <c r="K20" s="7"/>
      <c r="L20" s="7">
        <f>487/2-0.5</f>
        <v>243</v>
      </c>
      <c r="M20" s="7">
        <f>487-L20</f>
        <v>244</v>
      </c>
      <c r="N20" s="7">
        <f>SUM(K20:M20)</f>
        <v>487</v>
      </c>
      <c r="O20" s="8">
        <f t="shared" si="0"/>
        <v>72.578241430700459</v>
      </c>
    </row>
    <row r="21" spans="1:15" x14ac:dyDescent="0.35">
      <c r="A21" s="2">
        <v>16</v>
      </c>
      <c r="B21" s="6" t="s">
        <v>108</v>
      </c>
      <c r="C21" s="7">
        <v>1080</v>
      </c>
      <c r="D21" s="7" t="s">
        <v>109</v>
      </c>
      <c r="E21" s="6" t="s">
        <v>110</v>
      </c>
      <c r="F21" s="6" t="s">
        <v>111</v>
      </c>
      <c r="G21" s="6" t="s">
        <v>112</v>
      </c>
      <c r="H21" s="6" t="s">
        <v>113</v>
      </c>
      <c r="I21" s="7" t="s">
        <v>167</v>
      </c>
      <c r="J21" s="7"/>
      <c r="K21" s="7"/>
      <c r="L21" s="7"/>
      <c r="M21" s="7">
        <v>236</v>
      </c>
      <c r="N21" s="7">
        <v>236</v>
      </c>
      <c r="O21" s="8">
        <f t="shared" si="0"/>
        <v>21.851851851851851</v>
      </c>
    </row>
    <row r="22" spans="1:15" x14ac:dyDescent="0.35">
      <c r="A22" s="2">
        <v>17</v>
      </c>
      <c r="B22" s="6" t="s">
        <v>114</v>
      </c>
      <c r="C22" s="7">
        <v>268</v>
      </c>
      <c r="D22" s="7" t="s">
        <v>115</v>
      </c>
      <c r="E22" s="6" t="s">
        <v>116</v>
      </c>
      <c r="F22" s="6" t="s">
        <v>117</v>
      </c>
      <c r="G22" s="9" t="s">
        <v>118</v>
      </c>
      <c r="H22" s="6" t="s">
        <v>119</v>
      </c>
      <c r="I22" s="7" t="s">
        <v>167</v>
      </c>
      <c r="J22" s="7"/>
      <c r="K22" s="7"/>
      <c r="L22" s="7"/>
      <c r="M22" s="7">
        <v>18</v>
      </c>
      <c r="N22" s="7">
        <v>18</v>
      </c>
      <c r="O22" s="8">
        <f t="shared" si="0"/>
        <v>6.7164179104477615</v>
      </c>
    </row>
    <row r="23" spans="1:15" x14ac:dyDescent="0.35">
      <c r="A23" s="2">
        <v>18</v>
      </c>
      <c r="B23" s="6" t="s">
        <v>120</v>
      </c>
      <c r="C23" s="7">
        <v>493</v>
      </c>
      <c r="D23" s="7" t="s">
        <v>121</v>
      </c>
      <c r="E23" s="6" t="s">
        <v>122</v>
      </c>
      <c r="F23" s="6" t="s">
        <v>123</v>
      </c>
      <c r="G23" s="6" t="s">
        <v>124</v>
      </c>
      <c r="H23" s="6" t="s">
        <v>156</v>
      </c>
      <c r="I23" s="7" t="s">
        <v>168</v>
      </c>
      <c r="J23" s="7"/>
      <c r="K23" s="7"/>
      <c r="L23" s="7"/>
      <c r="M23" s="7">
        <v>1</v>
      </c>
      <c r="N23" s="7">
        <v>1</v>
      </c>
      <c r="O23" s="8">
        <f t="shared" si="0"/>
        <v>0.20283975659229209</v>
      </c>
    </row>
    <row r="24" spans="1:15" x14ac:dyDescent="0.35">
      <c r="A24" s="2">
        <v>19</v>
      </c>
      <c r="B24" s="6" t="s">
        <v>125</v>
      </c>
      <c r="C24" s="7">
        <v>608</v>
      </c>
      <c r="D24" s="7" t="s">
        <v>126</v>
      </c>
      <c r="E24" s="6" t="s">
        <v>127</v>
      </c>
      <c r="F24" s="6" t="s">
        <v>128</v>
      </c>
      <c r="G24" s="6" t="s">
        <v>127</v>
      </c>
      <c r="H24" s="6" t="s">
        <v>128</v>
      </c>
      <c r="I24" s="7" t="s">
        <v>169</v>
      </c>
      <c r="J24" s="7"/>
      <c r="K24" s="7">
        <f>L24/2</f>
        <v>122</v>
      </c>
      <c r="L24" s="7">
        <f>488/2</f>
        <v>244</v>
      </c>
      <c r="M24" s="7">
        <f>K24</f>
        <v>122</v>
      </c>
      <c r="N24" s="7">
        <f>SUM(K24:M24)</f>
        <v>488</v>
      </c>
      <c r="O24" s="8">
        <f t="shared" si="0"/>
        <v>80.26315789473685</v>
      </c>
    </row>
    <row r="25" spans="1:15" x14ac:dyDescent="0.35">
      <c r="A25" s="2">
        <v>20</v>
      </c>
      <c r="B25" s="6" t="s">
        <v>129</v>
      </c>
      <c r="C25" s="7">
        <v>326</v>
      </c>
      <c r="D25" s="7" t="s">
        <v>130</v>
      </c>
      <c r="E25" s="9" t="s">
        <v>131</v>
      </c>
      <c r="F25" s="6" t="s">
        <v>132</v>
      </c>
      <c r="G25" s="9" t="s">
        <v>131</v>
      </c>
      <c r="H25" s="6" t="s">
        <v>132</v>
      </c>
      <c r="I25" s="7" t="s">
        <v>170</v>
      </c>
      <c r="J25" s="7"/>
      <c r="K25" s="7"/>
      <c r="L25" s="7">
        <f>162/1.5</f>
        <v>108</v>
      </c>
      <c r="M25" s="7">
        <f>162-L25</f>
        <v>54</v>
      </c>
      <c r="N25" s="7">
        <f>SUM(K25:M25)</f>
        <v>162</v>
      </c>
      <c r="O25" s="8">
        <f t="shared" si="0"/>
        <v>49.693251533742334</v>
      </c>
    </row>
    <row r="26" spans="1:15" x14ac:dyDescent="0.35">
      <c r="B26" s="7"/>
      <c r="C26" s="7"/>
      <c r="D26" s="7"/>
      <c r="E26" s="7"/>
      <c r="F26" s="7"/>
      <c r="G26" s="10"/>
      <c r="H26" s="10"/>
      <c r="I26" s="7"/>
      <c r="J26" s="7"/>
      <c r="K26" s="7"/>
      <c r="L26" s="7"/>
      <c r="M26" s="7"/>
      <c r="N26" s="7"/>
      <c r="O26" s="10"/>
    </row>
    <row r="27" spans="1:15" x14ac:dyDescent="0.35">
      <c r="B27" s="7"/>
      <c r="C27" s="7"/>
      <c r="D27" s="7"/>
      <c r="E27" s="7"/>
      <c r="F27" s="7"/>
      <c r="G27" s="7"/>
      <c r="H27" s="7"/>
      <c r="I27" s="7" t="s">
        <v>133</v>
      </c>
      <c r="J27" s="7"/>
      <c r="K27" s="7">
        <f>SUM(K6:K25)</f>
        <v>391</v>
      </c>
      <c r="L27" s="7">
        <f>SUM(L6:L25)</f>
        <v>1944</v>
      </c>
      <c r="M27" s="7">
        <f>SUM(M6:M25)</f>
        <v>1458</v>
      </c>
      <c r="N27" s="7"/>
      <c r="O27" s="7"/>
    </row>
    <row r="28" spans="1:15" x14ac:dyDescent="0.35">
      <c r="A28" s="13" t="s">
        <v>4</v>
      </c>
      <c r="B28" s="13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35">
      <c r="A29" s="14" t="s">
        <v>5</v>
      </c>
      <c r="B29" s="14" t="s">
        <v>2</v>
      </c>
      <c r="C29" s="14" t="s">
        <v>3</v>
      </c>
      <c r="D29" s="14" t="s">
        <v>6</v>
      </c>
      <c r="E29" s="14" t="s">
        <v>7</v>
      </c>
      <c r="F29" s="14" t="s">
        <v>8</v>
      </c>
      <c r="G29" s="17" t="s">
        <v>9</v>
      </c>
      <c r="H29" s="17" t="s">
        <v>10</v>
      </c>
      <c r="I29" s="14" t="s">
        <v>11</v>
      </c>
      <c r="J29" s="14" t="s">
        <v>12</v>
      </c>
      <c r="K29" s="21"/>
      <c r="L29" s="21"/>
      <c r="M29" s="21"/>
      <c r="N29" s="15" t="s">
        <v>134</v>
      </c>
      <c r="O29" s="17" t="s">
        <v>14</v>
      </c>
    </row>
    <row r="30" spans="1:15" x14ac:dyDescent="0.35">
      <c r="A30" s="14"/>
      <c r="B30" s="14"/>
      <c r="C30" s="14"/>
      <c r="D30" s="14"/>
      <c r="E30" s="14"/>
      <c r="F30" s="14"/>
      <c r="G30" s="18"/>
      <c r="H30" s="18"/>
      <c r="I30" s="14"/>
      <c r="J30" s="5">
        <v>2023</v>
      </c>
      <c r="K30" s="5">
        <v>2024</v>
      </c>
      <c r="L30" s="5">
        <v>2025</v>
      </c>
      <c r="M30" s="5" t="s">
        <v>15</v>
      </c>
      <c r="N30" s="16"/>
      <c r="O30" s="18"/>
    </row>
    <row r="31" spans="1:15" x14ac:dyDescent="0.35">
      <c r="A31" s="2">
        <v>1</v>
      </c>
      <c r="B31" s="6" t="s">
        <v>135</v>
      </c>
      <c r="C31" s="7">
        <v>50</v>
      </c>
      <c r="D31" s="7" t="s">
        <v>136</v>
      </c>
      <c r="E31" s="11" t="s">
        <v>137</v>
      </c>
      <c r="F31" s="11" t="s">
        <v>138</v>
      </c>
      <c r="G31" s="9" t="s">
        <v>139</v>
      </c>
      <c r="H31" s="6" t="s">
        <v>140</v>
      </c>
      <c r="I31" s="7" t="s">
        <v>83</v>
      </c>
      <c r="J31" s="7"/>
      <c r="K31" s="7">
        <v>20</v>
      </c>
      <c r="L31" s="7">
        <v>20</v>
      </c>
      <c r="M31" s="7">
        <v>10</v>
      </c>
      <c r="N31" s="7"/>
      <c r="O31" s="10">
        <v>100</v>
      </c>
    </row>
    <row r="32" spans="1:15" x14ac:dyDescent="0.35">
      <c r="A32" s="2">
        <v>2</v>
      </c>
      <c r="B32" s="6" t="s">
        <v>141</v>
      </c>
      <c r="C32" s="7">
        <v>18</v>
      </c>
      <c r="D32" s="7" t="s">
        <v>142</v>
      </c>
      <c r="E32" s="7" t="s">
        <v>143</v>
      </c>
      <c r="F32" s="7" t="s">
        <v>144</v>
      </c>
      <c r="G32" s="9" t="s">
        <v>145</v>
      </c>
      <c r="H32" s="6" t="s">
        <v>146</v>
      </c>
      <c r="I32" s="7" t="s">
        <v>83</v>
      </c>
      <c r="J32" s="7"/>
      <c r="K32" s="7">
        <v>7</v>
      </c>
      <c r="L32" s="7">
        <v>7</v>
      </c>
      <c r="M32" s="7">
        <v>3</v>
      </c>
      <c r="N32" s="7">
        <f>SUM(K32:M32)</f>
        <v>17</v>
      </c>
      <c r="O32" s="10" t="s">
        <v>147</v>
      </c>
    </row>
    <row r="33" spans="1:15" x14ac:dyDescent="0.35">
      <c r="A33" s="2">
        <v>3</v>
      </c>
      <c r="B33" s="6" t="s">
        <v>148</v>
      </c>
      <c r="C33" s="7">
        <v>239</v>
      </c>
      <c r="D33" s="11" t="s">
        <v>149</v>
      </c>
      <c r="E33" s="11" t="s">
        <v>150</v>
      </c>
      <c r="F33" s="11" t="s">
        <v>151</v>
      </c>
      <c r="G33" s="9" t="s">
        <v>152</v>
      </c>
      <c r="H33" s="6" t="s">
        <v>153</v>
      </c>
      <c r="I33" s="7" t="s">
        <v>154</v>
      </c>
      <c r="J33" s="7"/>
      <c r="K33" s="7">
        <f>L33/2</f>
        <v>10</v>
      </c>
      <c r="L33" s="7">
        <f>40/2</f>
        <v>20</v>
      </c>
      <c r="M33" s="7">
        <f>K33</f>
        <v>10</v>
      </c>
      <c r="N33" s="7">
        <f>SUM(K33:M33)</f>
        <v>40</v>
      </c>
      <c r="O33" s="8">
        <f>N33/C33*100</f>
        <v>16.736401673640167</v>
      </c>
    </row>
    <row r="34" spans="1:15" x14ac:dyDescent="0.35">
      <c r="B34" s="12"/>
      <c r="C34" s="7"/>
      <c r="D34" s="7"/>
      <c r="E34" s="7"/>
      <c r="F34" s="7"/>
      <c r="G34" s="10"/>
      <c r="H34" s="10"/>
      <c r="I34" s="7"/>
      <c r="J34" s="7"/>
      <c r="K34" s="7"/>
      <c r="L34" s="7"/>
      <c r="M34" s="7"/>
      <c r="N34" s="7"/>
      <c r="O34" s="10"/>
    </row>
    <row r="35" spans="1:15" x14ac:dyDescent="0.35">
      <c r="B35" s="7"/>
      <c r="C35" s="7"/>
      <c r="D35" s="7"/>
      <c r="E35" s="7"/>
      <c r="F35" s="7"/>
      <c r="G35" s="7"/>
      <c r="H35" s="7"/>
      <c r="I35" s="7" t="s">
        <v>133</v>
      </c>
      <c r="J35" s="7"/>
      <c r="K35" s="7">
        <f>SUM(K31:K33)</f>
        <v>37</v>
      </c>
      <c r="L35" s="7">
        <f t="shared" ref="L35:M35" si="2">SUM(L31:L33)</f>
        <v>47</v>
      </c>
      <c r="M35" s="7">
        <f t="shared" si="2"/>
        <v>23</v>
      </c>
      <c r="N35" s="7"/>
      <c r="O35" s="7"/>
    </row>
    <row r="36" spans="1:15" x14ac:dyDescent="0.35">
      <c r="B36" s="7"/>
      <c r="C36" s="7"/>
      <c r="D36" s="7"/>
      <c r="E36" s="7"/>
      <c r="F36" s="7"/>
      <c r="G36" s="10"/>
      <c r="H36" s="10"/>
      <c r="I36" s="7"/>
      <c r="J36" s="7"/>
      <c r="K36" s="7"/>
      <c r="L36" s="7"/>
      <c r="M36" s="7"/>
      <c r="N36" s="7"/>
      <c r="O36" s="10"/>
    </row>
    <row r="37" spans="1:15" x14ac:dyDescent="0.35">
      <c r="B37" s="7"/>
      <c r="C37" s="7"/>
      <c r="D37" s="7"/>
      <c r="E37" s="7"/>
      <c r="F37" s="7"/>
      <c r="G37" s="10"/>
      <c r="H37" s="10"/>
      <c r="I37" s="7" t="s">
        <v>155</v>
      </c>
      <c r="J37" s="7"/>
      <c r="K37" s="7">
        <f>K27+K35</f>
        <v>428</v>
      </c>
      <c r="L37" s="7">
        <f t="shared" ref="L37:M37" si="3">L27+L35</f>
        <v>1991</v>
      </c>
      <c r="M37" s="7">
        <f t="shared" si="3"/>
        <v>1481</v>
      </c>
      <c r="N37" s="7"/>
      <c r="O37" s="10"/>
    </row>
    <row r="38" spans="1:15" x14ac:dyDescent="0.35">
      <c r="B38" s="7"/>
      <c r="C38" s="7"/>
      <c r="D38" s="7"/>
      <c r="E38" s="7"/>
      <c r="F38" s="7"/>
      <c r="G38" s="10"/>
      <c r="H38" s="10"/>
      <c r="I38" s="7"/>
      <c r="J38" s="7"/>
      <c r="K38" s="7"/>
      <c r="L38" s="7"/>
      <c r="M38" s="7"/>
      <c r="N38" s="7"/>
      <c r="O38" s="10"/>
    </row>
  </sheetData>
  <mergeCells count="26">
    <mergeCell ref="G29:G30"/>
    <mergeCell ref="H29:H30"/>
    <mergeCell ref="I29:I30"/>
    <mergeCell ref="J29:M29"/>
    <mergeCell ref="N29:N30"/>
    <mergeCell ref="N4:N5"/>
    <mergeCell ref="O4:O5"/>
    <mergeCell ref="A28:B28"/>
    <mergeCell ref="A29:A30"/>
    <mergeCell ref="B29:B30"/>
    <mergeCell ref="C29:C30"/>
    <mergeCell ref="D29:D30"/>
    <mergeCell ref="E29:E30"/>
    <mergeCell ref="E4:E5"/>
    <mergeCell ref="F4:F5"/>
    <mergeCell ref="G4:G5"/>
    <mergeCell ref="H4:H5"/>
    <mergeCell ref="I4:I5"/>
    <mergeCell ref="J4:M4"/>
    <mergeCell ref="O29:O30"/>
    <mergeCell ref="F29:F30"/>
    <mergeCell ref="A3:B3"/>
    <mergeCell ref="A4:A5"/>
    <mergeCell ref="B4:B5"/>
    <mergeCell ref="C4:C5"/>
    <mergeCell ref="D4:D5"/>
  </mergeCells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Kow @ Penang</dc:creator>
  <cp:lastModifiedBy>Brandon Kow @ Penang</cp:lastModifiedBy>
  <dcterms:created xsi:type="dcterms:W3CDTF">2026-06-11T03:47:06Z</dcterms:created>
  <dcterms:modified xsi:type="dcterms:W3CDTF">2026-06-11T07:55:19Z</dcterms:modified>
</cp:coreProperties>
</file>