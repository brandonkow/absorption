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randon\Downloads\"/>
    </mc:Choice>
  </mc:AlternateContent>
  <xr:revisionPtr revIDLastSave="0" documentId="8_{B383F457-C26A-485F-B7DC-C87931B4DF8B}" xr6:coauthVersionLast="47" xr6:coauthVersionMax="47" xr10:uidLastSave="{00000000-0000-0000-0000-000000000000}"/>
  <bookViews>
    <workbookView xWindow="-110" yWindow="-110" windowWidth="19420" windowHeight="11500" xr2:uid="{9A2ED18F-AD41-40CB-B44C-11FB8477873E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5" i="1" l="1"/>
  <c r="J35" i="1"/>
  <c r="I35" i="1"/>
  <c r="K27" i="1"/>
  <c r="K37" i="1" s="1"/>
  <c r="J27" i="1"/>
  <c r="J37" i="1" s="1"/>
  <c r="I27" i="1"/>
  <c r="I37" i="1" s="1"/>
</calcChain>
</file>

<file path=xl/sharedStrings.xml><?xml version="1.0" encoding="utf-8"?>
<sst xmlns="http://schemas.openxmlformats.org/spreadsheetml/2006/main" count="149" uniqueCount="130">
  <si>
    <t>Note: Sample size - newly launched projects within last 3 years (from 2023), pricing RM1,000 +- per sqft</t>
  </si>
  <si>
    <t>Highrise</t>
  </si>
  <si>
    <t>Project Name</t>
  </si>
  <si>
    <t>Total Units</t>
  </si>
  <si>
    <t>Landed</t>
  </si>
  <si>
    <t>No</t>
  </si>
  <si>
    <t>Typical Floor Area (sq. ft.)</t>
  </si>
  <si>
    <t>Developer’s Selling Price (RM)</t>
  </si>
  <si>
    <t>Developer’s Selling Price (RM psf)</t>
  </si>
  <si>
    <t>Launched year / Estimated Completion</t>
  </si>
  <si>
    <t>Absorption units</t>
  </si>
  <si>
    <t>Sales / Booking Rate (%)</t>
  </si>
  <si>
    <t>Remark</t>
  </si>
  <si>
    <t>1H 2026</t>
  </si>
  <si>
    <t xml:space="preserve">Noordinz Suites </t>
  </si>
  <si>
    <t>550 – 1,100</t>
  </si>
  <si>
    <t>593,800 - 1,031,100</t>
  </si>
  <si>
    <t>937 - 1,080</t>
  </si>
  <si>
    <t>2023 / Q3 2027</t>
  </si>
  <si>
    <t>1 unit left</t>
  </si>
  <si>
    <t>Queens Residences Q3</t>
  </si>
  <si>
    <t>950 – 1,400</t>
  </si>
  <si>
    <t>862,200 - 2,894,760</t>
  </si>
  <si>
    <t>908 - 2,068</t>
  </si>
  <si>
    <t>2023 / Q4 2027</t>
  </si>
  <si>
    <t>Ventus &amp; Tradesmen</t>
  </si>
  <si>
    <t>409 – 829</t>
  </si>
  <si>
    <t>480,000 onwards</t>
  </si>
  <si>
    <t>1,174 onwards</t>
  </si>
  <si>
    <t>2024 / Q1 2028</t>
  </si>
  <si>
    <t>Booking: 60</t>
  </si>
  <si>
    <t>No info on Teduh</t>
  </si>
  <si>
    <t xml:space="preserve">STARK Tower </t>
  </si>
  <si>
    <t>425 – 640</t>
  </si>
  <si>
    <t>600,000 onwards</t>
  </si>
  <si>
    <t>1,412 onwards</t>
  </si>
  <si>
    <t>2024 / 4Q 2027</t>
  </si>
  <si>
    <t>The Lume</t>
  </si>
  <si>
    <t>1,722 – 2,874</t>
  </si>
  <si>
    <t>1,670,100 - 3,820,000</t>
  </si>
  <si>
    <t>970 - 1,329</t>
  </si>
  <si>
    <t>2024 / Q1 2029</t>
  </si>
  <si>
    <t>Maris</t>
  </si>
  <si>
    <t>979 – 1,250</t>
  </si>
  <si>
    <t>883,500 - 1,772,000</t>
  </si>
  <si>
    <t>902 - 1,418</t>
  </si>
  <si>
    <t>2025 / Q3 2029</t>
  </si>
  <si>
    <t>Westin Residences Penang</t>
  </si>
  <si>
    <t>1,033 – 1,604</t>
  </si>
  <si>
    <t>1,921,000 - 3,501,000</t>
  </si>
  <si>
    <t>1,860 - 2,183</t>
  </si>
  <si>
    <t>2025 / Q4 2029</t>
  </si>
  <si>
    <t>G’Vinton</t>
  </si>
  <si>
    <t>387 – 474</t>
  </si>
  <si>
    <t>595,500 - 682,500</t>
  </si>
  <si>
    <t>1,440 - 1,539</t>
  </si>
  <si>
    <t>2024 / Q3 2027</t>
  </si>
  <si>
    <t>Lumina Residence</t>
  </si>
  <si>
    <t>1,206 – 1,346</t>
  </si>
  <si>
    <t>1,030,000 - 1,614,000</t>
  </si>
  <si>
    <t>854 - 1,200</t>
  </si>
  <si>
    <t>2024 / Q2 2028</t>
  </si>
  <si>
    <t>The Anton</t>
  </si>
  <si>
    <t>2,702 – 3,100</t>
  </si>
  <si>
    <t>3,003,000 - 5,052,000</t>
  </si>
  <si>
    <t>1,111 - 1,630</t>
  </si>
  <si>
    <t>2024 / Q4 2026</t>
  </si>
  <si>
    <t>3 units left</t>
  </si>
  <si>
    <t>The Crown</t>
  </si>
  <si>
    <t>614 – 840</t>
  </si>
  <si>
    <t>704,000 - 1,081,000</t>
  </si>
  <si>
    <t>1,147 - 1,287</t>
  </si>
  <si>
    <t>2023 / Q4 2028</t>
  </si>
  <si>
    <t>Scott @ Logan</t>
  </si>
  <si>
    <t>335 – 550</t>
  </si>
  <si>
    <t>473,800 - 782,800</t>
  </si>
  <si>
    <t>1,414 - 1,423</t>
  </si>
  <si>
    <t xml:space="preserve">Alton Skyvillas </t>
  </si>
  <si>
    <t>1,132 – 1,687</t>
  </si>
  <si>
    <t>898,560 - 1,360,000</t>
  </si>
  <si>
    <t>794 - 806</t>
  </si>
  <si>
    <t>2023 / Q2 2026</t>
  </si>
  <si>
    <t>Lightwater Residences</t>
  </si>
  <si>
    <t>1,152 – 1,690</t>
  </si>
  <si>
    <t>2,055,000 - 3,507,000</t>
  </si>
  <si>
    <t>1,784 - 2,075</t>
  </si>
  <si>
    <t>2024 / Q1 2027</t>
  </si>
  <si>
    <t>The Lighthauz</t>
  </si>
  <si>
    <t>732 – 1,001</t>
  </si>
  <si>
    <t>864,500 - 1,173,700</t>
  </si>
  <si>
    <t>1,173 - 1,181</t>
  </si>
  <si>
    <t>2025 / Q4 2028</t>
  </si>
  <si>
    <t>Avea</t>
  </si>
  <si>
    <t>678 - 1,076</t>
  </si>
  <si>
    <t>683,000 - 1,671,000</t>
  </si>
  <si>
    <t>1,007 - 1,553</t>
  </si>
  <si>
    <t>Setia SV2</t>
  </si>
  <si>
    <t>1,058 - 1,652</t>
  </si>
  <si>
    <t>1,168,000 - 1,604,000</t>
  </si>
  <si>
    <t>970 - 1,104</t>
  </si>
  <si>
    <t>Keeperz Suites</t>
  </si>
  <si>
    <t>484 - 581</t>
  </si>
  <si>
    <t>832600 - 1,001,000</t>
  </si>
  <si>
    <t>1,433 - 1,723</t>
  </si>
  <si>
    <t>2026 / Q1 2029</t>
  </si>
  <si>
    <t xml:space="preserve">Avion </t>
  </si>
  <si>
    <t>488 - 1,328</t>
  </si>
  <si>
    <t>430,578 - 1,224,000</t>
  </si>
  <si>
    <t>882 - 922</t>
  </si>
  <si>
    <t>Bayan Suite</t>
  </si>
  <si>
    <t>592 - 872</t>
  </si>
  <si>
    <t>511,900 - 848,800</t>
  </si>
  <si>
    <t>865 - 973</t>
  </si>
  <si>
    <t>2024 / Q4 2027</t>
  </si>
  <si>
    <t>Subtotal</t>
  </si>
  <si>
    <t xml:space="preserve">Fera </t>
  </si>
  <si>
    <t>3,615 - 3,921</t>
  </si>
  <si>
    <t>3,606,000 - 3,856,000</t>
  </si>
  <si>
    <t>983 - 997</t>
  </si>
  <si>
    <t>Senna</t>
  </si>
  <si>
    <t>4,637 - 5,337</t>
  </si>
  <si>
    <t>4,780,000 - 5,760,000</t>
  </si>
  <si>
    <t>1,031 - 1,079</t>
  </si>
  <si>
    <t>Phase 3: 87.5%, Phase 4: 100%</t>
  </si>
  <si>
    <t>Jesselton Courtyard</t>
  </si>
  <si>
    <t>2,734 - 5,488</t>
  </si>
  <si>
    <t>2,734,000 - 8,280,000</t>
  </si>
  <si>
    <t>1,000 - 1,508</t>
  </si>
  <si>
    <t>2024 / Q2 2027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</si>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</sst>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rgb="FF80808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A2751-F5CE-4BD5-BCEF-67B7FE8A00B0}">
  <dimension ref="A1:AG38"/>
  <sheetViews>
    <sheetView tabSelected="1" zoomScale="91" zoomScaleNormal="91" workbookViewId="0">
      <selection activeCell="AN13" sqref="AN13"/>
    </sheetView>
  </sheetViews>
  <sheetFormatPr defaultColWidth="8.7265625" defaultRowHeight="14.5" x14ac:dyDescent="0.35"/>
  <cols>
    <col min="1" max="1" width="91.26953125" style="2" bestFit="1" customWidth="1"/>
    <col min="2" max="2" width="48.26953125" style="2" bestFit="1" customWidth="1"/>
    <col min="3" max="3" width="42.7265625" style="2" bestFit="1" customWidth="1"/>
    <col min="4" max="4" width="24" style="2" bestFit="1" customWidth="1"/>
    <col min="5" max="5" width="45" style="2" bestFit="1" customWidth="1"/>
    <col min="6" max="6" width="31.54296875" style="2" bestFit="1" customWidth="1"/>
    <col min="7" max="7" width="36.26953125" style="2" bestFit="1" customWidth="1"/>
    <col min="8" max="8" width="12.7265625" style="2" bestFit="1" customWidth="1"/>
    <col min="9" max="11" width="34.1796875" style="2" customWidth="1"/>
    <col min="12" max="12" width="28.54296875" style="2" customWidth="1"/>
    <col min="13" max="13" width="17.54296875" style="2" customWidth="1"/>
    <col min="14" max="14" width="8.7265625" style="2"/>
    <col min="15" max="15" width="34.81640625" style="2" bestFit="1" customWidth="1"/>
    <col min="16" max="16" width="10.54296875" style="2" bestFit="1" customWidth="1"/>
    <col min="17" max="17" width="8.7265625" style="2"/>
    <col min="18" max="18" width="8.453125" style="2" bestFit="1" customWidth="1"/>
    <col min="19" max="19" width="8.54296875" style="2" bestFit="1" customWidth="1"/>
    <col min="20" max="20" width="7.7265625" style="2" bestFit="1" customWidth="1"/>
    <col min="21" max="21" width="8.7265625" style="2"/>
    <col min="22" max="22" width="24.54296875" style="2" bestFit="1" customWidth="1"/>
    <col min="23" max="23" width="13.81640625" style="2" bestFit="1" customWidth="1"/>
    <col min="24" max="24" width="8.7265625" style="2"/>
    <col min="25" max="25" width="18.26953125" style="2" bestFit="1" customWidth="1"/>
    <col min="26" max="26" width="10.54296875" style="2" bestFit="1" customWidth="1"/>
    <col min="27" max="27" width="10.453125" style="2" bestFit="1" customWidth="1"/>
    <col min="28" max="28" width="8.7265625" style="2"/>
    <col min="29" max="29" width="8.453125" style="2" bestFit="1" customWidth="1"/>
    <col min="30" max="30" width="15.81640625" style="2" bestFit="1" customWidth="1"/>
    <col min="31" max="31" width="8.7265625" style="2"/>
    <col min="32" max="32" width="13.453125" style="2" bestFit="1" customWidth="1"/>
    <col min="33" max="33" width="10.54296875" style="2" bestFit="1" customWidth="1"/>
    <col min="34" max="16384" width="8.7265625" style="2"/>
  </cols>
  <sheetData>
    <row r="1" spans="1:33" x14ac:dyDescent="0.35">
      <c r="A1" s="1" t="s">
        <v>0</v>
      </c>
      <c r="O1" s="3"/>
    </row>
    <row r="2" spans="1:33" x14ac:dyDescent="0.35">
      <c r="A2" s="1"/>
    </row>
    <row r="3" spans="1:33" x14ac:dyDescent="0.35">
      <c r="A3" s="4" t="s">
        <v>1</v>
      </c>
      <c r="B3" s="4"/>
      <c r="O3" s="5"/>
      <c r="P3" s="5"/>
      <c r="R3" s="5"/>
      <c r="S3" s="5"/>
      <c r="T3" s="5"/>
      <c r="V3" s="5"/>
      <c r="W3" s="5"/>
      <c r="Y3" s="5"/>
      <c r="Z3" s="5"/>
      <c r="AA3" s="5"/>
      <c r="AC3" s="5"/>
      <c r="AD3" s="5"/>
      <c r="AF3" s="5"/>
      <c r="AG3" s="5"/>
    </row>
    <row r="4" spans="1:33" x14ac:dyDescent="0.35">
      <c r="A4" s="6" t="s">
        <v>5</v>
      </c>
      <c r="B4" s="6" t="s">
        <v>2</v>
      </c>
      <c r="C4" s="6" t="s">
        <v>3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7"/>
      <c r="J4" s="7"/>
      <c r="K4" s="7"/>
      <c r="L4" s="8" t="s">
        <v>11</v>
      </c>
      <c r="M4" s="8" t="s">
        <v>12</v>
      </c>
    </row>
    <row r="5" spans="1:33" x14ac:dyDescent="0.35">
      <c r="A5" s="6"/>
      <c r="B5" s="6"/>
      <c r="C5" s="6"/>
      <c r="D5" s="6"/>
      <c r="E5" s="6"/>
      <c r="F5" s="6"/>
      <c r="G5" s="6"/>
      <c r="H5" s="9">
        <v>2023</v>
      </c>
      <c r="I5" s="9">
        <v>2024</v>
      </c>
      <c r="J5" s="9">
        <v>2025</v>
      </c>
      <c r="K5" s="9" t="s">
        <v>13</v>
      </c>
      <c r="L5" s="10"/>
      <c r="M5" s="10"/>
    </row>
    <row r="6" spans="1:33" x14ac:dyDescent="0.35">
      <c r="A6" s="2">
        <v>1</v>
      </c>
      <c r="B6" s="11" t="s">
        <v>14</v>
      </c>
      <c r="C6" s="11">
        <v>603</v>
      </c>
      <c r="D6" s="11" t="s">
        <v>15</v>
      </c>
      <c r="E6" s="12" t="s">
        <v>16</v>
      </c>
      <c r="F6" s="12" t="s">
        <v>17</v>
      </c>
      <c r="G6" s="11" t="s">
        <v>18</v>
      </c>
      <c r="H6" s="11"/>
      <c r="I6" s="11"/>
      <c r="J6" s="11"/>
      <c r="K6" s="11"/>
      <c r="L6" s="12">
        <v>99.83</v>
      </c>
      <c r="M6" s="2" t="s">
        <v>19</v>
      </c>
    </row>
    <row r="7" spans="1:33" x14ac:dyDescent="0.35">
      <c r="A7" s="2">
        <v>2</v>
      </c>
      <c r="B7" s="11" t="s">
        <v>20</v>
      </c>
      <c r="C7" s="11">
        <v>532</v>
      </c>
      <c r="D7" s="11" t="s">
        <v>21</v>
      </c>
      <c r="E7" s="12" t="s">
        <v>22</v>
      </c>
      <c r="F7" s="12" t="s">
        <v>23</v>
      </c>
      <c r="G7" s="11" t="s">
        <v>24</v>
      </c>
      <c r="H7" s="11"/>
      <c r="I7" s="11">
        <v>76</v>
      </c>
      <c r="J7" s="11">
        <v>151</v>
      </c>
      <c r="K7" s="11">
        <v>76</v>
      </c>
      <c r="L7" s="12">
        <v>56.95</v>
      </c>
    </row>
    <row r="8" spans="1:33" x14ac:dyDescent="0.35">
      <c r="A8" s="2">
        <v>3</v>
      </c>
      <c r="B8" s="11" t="s">
        <v>25</v>
      </c>
      <c r="C8" s="11">
        <v>397</v>
      </c>
      <c r="D8" s="11" t="s">
        <v>26</v>
      </c>
      <c r="E8" s="12" t="s">
        <v>27</v>
      </c>
      <c r="F8" s="12" t="s">
        <v>28</v>
      </c>
      <c r="G8" s="11" t="s">
        <v>29</v>
      </c>
      <c r="H8" s="11"/>
      <c r="I8" s="11"/>
      <c r="J8" s="11"/>
      <c r="K8" s="11"/>
      <c r="L8" s="12" t="s">
        <v>30</v>
      </c>
      <c r="M8" s="2" t="s">
        <v>31</v>
      </c>
    </row>
    <row r="9" spans="1:33" x14ac:dyDescent="0.35">
      <c r="A9" s="2">
        <v>4</v>
      </c>
      <c r="B9" s="11" t="s">
        <v>32</v>
      </c>
      <c r="C9" s="11">
        <v>618</v>
      </c>
      <c r="D9" s="11" t="s">
        <v>33</v>
      </c>
      <c r="E9" s="12" t="s">
        <v>34</v>
      </c>
      <c r="F9" s="12" t="s">
        <v>35</v>
      </c>
      <c r="G9" s="11" t="s">
        <v>36</v>
      </c>
      <c r="H9" s="11"/>
      <c r="I9" s="11"/>
      <c r="J9" s="11"/>
      <c r="K9" s="11"/>
      <c r="L9" s="12" t="s">
        <v>30</v>
      </c>
      <c r="M9" s="2" t="s">
        <v>31</v>
      </c>
    </row>
    <row r="10" spans="1:33" x14ac:dyDescent="0.35">
      <c r="A10" s="2">
        <v>5</v>
      </c>
      <c r="B10" s="11" t="s">
        <v>37</v>
      </c>
      <c r="C10" s="11">
        <v>261</v>
      </c>
      <c r="D10" s="11" t="s">
        <v>38</v>
      </c>
      <c r="E10" s="12" t="s">
        <v>39</v>
      </c>
      <c r="F10" s="12" t="s">
        <v>40</v>
      </c>
      <c r="G10" s="11" t="s">
        <v>41</v>
      </c>
      <c r="H10" s="11"/>
      <c r="I10" s="11">
        <v>48</v>
      </c>
      <c r="J10" s="11">
        <v>95</v>
      </c>
      <c r="K10" s="11">
        <v>48</v>
      </c>
      <c r="L10" s="12">
        <v>73.180000000000007</v>
      </c>
    </row>
    <row r="11" spans="1:33" x14ac:dyDescent="0.35">
      <c r="A11" s="2">
        <v>6</v>
      </c>
      <c r="B11" s="11" t="s">
        <v>42</v>
      </c>
      <c r="C11" s="11">
        <v>516</v>
      </c>
      <c r="D11" s="11" t="s">
        <v>43</v>
      </c>
      <c r="E11" s="12" t="s">
        <v>44</v>
      </c>
      <c r="F11" s="12" t="s">
        <v>45</v>
      </c>
      <c r="G11" s="11" t="s">
        <v>46</v>
      </c>
      <c r="H11" s="11"/>
      <c r="I11" s="11"/>
      <c r="J11" s="11">
        <v>205</v>
      </c>
      <c r="K11" s="11">
        <v>103</v>
      </c>
      <c r="L11" s="12">
        <v>59.69</v>
      </c>
    </row>
    <row r="12" spans="1:33" x14ac:dyDescent="0.35">
      <c r="A12" s="2">
        <v>7</v>
      </c>
      <c r="B12" s="11" t="s">
        <v>47</v>
      </c>
      <c r="C12" s="11">
        <v>498</v>
      </c>
      <c r="D12" s="11" t="s">
        <v>48</v>
      </c>
      <c r="E12" s="12" t="s">
        <v>49</v>
      </c>
      <c r="F12" s="12" t="s">
        <v>50</v>
      </c>
      <c r="G12" s="11" t="s">
        <v>51</v>
      </c>
      <c r="H12" s="11"/>
      <c r="I12" s="11"/>
      <c r="J12" s="11">
        <v>254</v>
      </c>
      <c r="K12" s="11">
        <v>127</v>
      </c>
      <c r="L12" s="12">
        <v>76.5</v>
      </c>
    </row>
    <row r="13" spans="1:33" x14ac:dyDescent="0.35">
      <c r="A13" s="2">
        <v>8</v>
      </c>
      <c r="B13" s="11" t="s">
        <v>52</v>
      </c>
      <c r="C13" s="11">
        <v>508</v>
      </c>
      <c r="D13" s="11" t="s">
        <v>53</v>
      </c>
      <c r="E13" s="12" t="s">
        <v>54</v>
      </c>
      <c r="F13" s="12" t="s">
        <v>55</v>
      </c>
      <c r="G13" s="11" t="s">
        <v>56</v>
      </c>
      <c r="H13" s="11"/>
      <c r="I13" s="11"/>
      <c r="J13" s="11">
        <v>2</v>
      </c>
      <c r="K13" s="11">
        <v>1</v>
      </c>
      <c r="L13" s="12">
        <v>0.59</v>
      </c>
    </row>
    <row r="14" spans="1:33" x14ac:dyDescent="0.35">
      <c r="A14" s="2">
        <v>9</v>
      </c>
      <c r="B14" s="11" t="s">
        <v>57</v>
      </c>
      <c r="C14" s="11">
        <v>596</v>
      </c>
      <c r="D14" s="11" t="s">
        <v>58</v>
      </c>
      <c r="E14" s="12" t="s">
        <v>59</v>
      </c>
      <c r="F14" s="12" t="s">
        <v>60</v>
      </c>
      <c r="G14" s="11" t="s">
        <v>61</v>
      </c>
      <c r="H14" s="11"/>
      <c r="I14" s="11"/>
      <c r="J14" s="11">
        <v>312</v>
      </c>
      <c r="K14" s="11">
        <v>157</v>
      </c>
      <c r="L14" s="12">
        <v>78.69</v>
      </c>
    </row>
    <row r="15" spans="1:33" x14ac:dyDescent="0.35">
      <c r="A15" s="2">
        <v>10</v>
      </c>
      <c r="B15" s="11" t="s">
        <v>62</v>
      </c>
      <c r="C15" s="11">
        <v>51</v>
      </c>
      <c r="D15" s="11" t="s">
        <v>63</v>
      </c>
      <c r="E15" s="12" t="s">
        <v>64</v>
      </c>
      <c r="F15" s="13" t="s">
        <v>65</v>
      </c>
      <c r="G15" s="11" t="s">
        <v>66</v>
      </c>
      <c r="H15" s="11"/>
      <c r="I15" s="11"/>
      <c r="J15" s="11"/>
      <c r="K15" s="11"/>
      <c r="L15" s="12">
        <v>94.12</v>
      </c>
      <c r="M15" s="2" t="s">
        <v>67</v>
      </c>
    </row>
    <row r="16" spans="1:33" x14ac:dyDescent="0.35">
      <c r="A16" s="2">
        <v>11</v>
      </c>
      <c r="B16" s="11" t="s">
        <v>68</v>
      </c>
      <c r="C16" s="11">
        <v>588</v>
      </c>
      <c r="D16" s="11" t="s">
        <v>69</v>
      </c>
      <c r="E16" s="12" t="s">
        <v>70</v>
      </c>
      <c r="F16" s="12" t="s">
        <v>71</v>
      </c>
      <c r="G16" s="11" t="s">
        <v>72</v>
      </c>
      <c r="H16" s="11"/>
      <c r="I16" s="11">
        <v>115</v>
      </c>
      <c r="J16" s="11">
        <v>230</v>
      </c>
      <c r="K16" s="11">
        <v>115</v>
      </c>
      <c r="L16" s="12">
        <v>78.23</v>
      </c>
    </row>
    <row r="17" spans="1:12" x14ac:dyDescent="0.35">
      <c r="A17" s="2">
        <v>12</v>
      </c>
      <c r="B17" s="11" t="s">
        <v>73</v>
      </c>
      <c r="C17" s="11">
        <v>311</v>
      </c>
      <c r="D17" s="11" t="s">
        <v>74</v>
      </c>
      <c r="E17" s="12" t="s">
        <v>75</v>
      </c>
      <c r="F17" s="12" t="s">
        <v>76</v>
      </c>
      <c r="G17" s="11" t="s">
        <v>56</v>
      </c>
      <c r="H17" s="11"/>
      <c r="I17" s="11">
        <v>17</v>
      </c>
      <c r="J17" s="11">
        <v>34</v>
      </c>
      <c r="K17" s="11">
        <v>18</v>
      </c>
      <c r="L17" s="12">
        <v>22.19</v>
      </c>
    </row>
    <row r="18" spans="1:12" x14ac:dyDescent="0.35">
      <c r="A18" s="2">
        <v>13</v>
      </c>
      <c r="B18" s="11" t="s">
        <v>77</v>
      </c>
      <c r="C18" s="11">
        <v>161</v>
      </c>
      <c r="D18" s="11" t="s">
        <v>78</v>
      </c>
      <c r="E18" s="12" t="s">
        <v>79</v>
      </c>
      <c r="F18" s="12" t="s">
        <v>80</v>
      </c>
      <c r="G18" s="11" t="s">
        <v>81</v>
      </c>
      <c r="H18" s="11"/>
      <c r="I18" s="11"/>
      <c r="J18" s="11"/>
      <c r="K18" s="11">
        <v>105</v>
      </c>
      <c r="L18" s="12">
        <v>65.22</v>
      </c>
    </row>
    <row r="19" spans="1:12" x14ac:dyDescent="0.35">
      <c r="A19" s="2">
        <v>14</v>
      </c>
      <c r="B19" s="11" t="s">
        <v>82</v>
      </c>
      <c r="C19" s="11">
        <v>262</v>
      </c>
      <c r="D19" s="11" t="s">
        <v>83</v>
      </c>
      <c r="E19" s="12" t="s">
        <v>84</v>
      </c>
      <c r="F19" s="12" t="s">
        <v>85</v>
      </c>
      <c r="G19" s="11" t="s">
        <v>86</v>
      </c>
      <c r="H19" s="11"/>
      <c r="I19" s="11">
        <v>10</v>
      </c>
      <c r="J19" s="11">
        <v>21</v>
      </c>
      <c r="K19" s="11">
        <v>11</v>
      </c>
      <c r="L19" s="12">
        <v>16.03</v>
      </c>
    </row>
    <row r="20" spans="1:12" x14ac:dyDescent="0.35">
      <c r="A20" s="2">
        <v>15</v>
      </c>
      <c r="B20" s="11" t="s">
        <v>87</v>
      </c>
      <c r="C20" s="11">
        <v>671</v>
      </c>
      <c r="D20" s="11" t="s">
        <v>88</v>
      </c>
      <c r="E20" s="12" t="s">
        <v>89</v>
      </c>
      <c r="F20" s="12" t="s">
        <v>90</v>
      </c>
      <c r="G20" s="11" t="s">
        <v>91</v>
      </c>
      <c r="H20" s="11"/>
      <c r="I20" s="11"/>
      <c r="J20" s="11">
        <v>234</v>
      </c>
      <c r="K20" s="11">
        <v>235</v>
      </c>
      <c r="L20" s="12">
        <v>69.900000000000006</v>
      </c>
    </row>
    <row r="21" spans="1:12" x14ac:dyDescent="0.35">
      <c r="A21" s="2">
        <v>16</v>
      </c>
      <c r="B21" s="12" t="s">
        <v>92</v>
      </c>
      <c r="C21" s="11">
        <v>1080</v>
      </c>
      <c r="D21" s="11" t="s">
        <v>93</v>
      </c>
      <c r="E21" s="12" t="s">
        <v>94</v>
      </c>
      <c r="F21" s="12" t="s">
        <v>95</v>
      </c>
      <c r="G21" s="11" t="s">
        <v>91</v>
      </c>
      <c r="H21" s="11"/>
      <c r="I21" s="11"/>
      <c r="J21" s="11"/>
      <c r="K21" s="11">
        <v>217</v>
      </c>
      <c r="L21" s="12">
        <v>20.09</v>
      </c>
    </row>
    <row r="22" spans="1:12" x14ac:dyDescent="0.35">
      <c r="A22" s="2">
        <v>17</v>
      </c>
      <c r="B22" s="12" t="s">
        <v>96</v>
      </c>
      <c r="C22" s="11">
        <v>268</v>
      </c>
      <c r="D22" s="11" t="s">
        <v>97</v>
      </c>
      <c r="E22" s="12" t="s">
        <v>98</v>
      </c>
      <c r="F22" s="12" t="s">
        <v>99</v>
      </c>
      <c r="G22" s="11" t="s">
        <v>91</v>
      </c>
      <c r="H22" s="11"/>
      <c r="I22" s="11"/>
      <c r="J22" s="11"/>
      <c r="K22" s="11">
        <v>18</v>
      </c>
      <c r="L22" s="12">
        <v>6.72</v>
      </c>
    </row>
    <row r="23" spans="1:12" x14ac:dyDescent="0.35">
      <c r="A23" s="2">
        <v>18</v>
      </c>
      <c r="B23" s="12" t="s">
        <v>100</v>
      </c>
      <c r="C23" s="11">
        <v>493</v>
      </c>
      <c r="D23" s="11" t="s">
        <v>101</v>
      </c>
      <c r="E23" s="13" t="s">
        <v>102</v>
      </c>
      <c r="F23" s="12" t="s">
        <v>103</v>
      </c>
      <c r="G23" s="11" t="s">
        <v>104</v>
      </c>
      <c r="H23" s="11"/>
      <c r="I23" s="11"/>
      <c r="J23" s="11"/>
      <c r="K23" s="11">
        <v>1</v>
      </c>
      <c r="L23" s="12">
        <v>0.2</v>
      </c>
    </row>
    <row r="24" spans="1:12" x14ac:dyDescent="0.35">
      <c r="A24" s="2">
        <v>19</v>
      </c>
      <c r="B24" s="12" t="s">
        <v>105</v>
      </c>
      <c r="C24" s="11">
        <v>608</v>
      </c>
      <c r="D24" s="11" t="s">
        <v>106</v>
      </c>
      <c r="E24" s="12" t="s">
        <v>107</v>
      </c>
      <c r="F24" s="12" t="s">
        <v>108</v>
      </c>
      <c r="G24" s="11" t="s">
        <v>86</v>
      </c>
      <c r="H24" s="11"/>
      <c r="I24" s="11">
        <v>120</v>
      </c>
      <c r="J24" s="11">
        <v>239</v>
      </c>
      <c r="K24" s="11">
        <v>120</v>
      </c>
      <c r="L24" s="12">
        <v>78.78</v>
      </c>
    </row>
    <row r="25" spans="1:12" x14ac:dyDescent="0.35">
      <c r="A25" s="2">
        <v>20</v>
      </c>
      <c r="B25" s="12" t="s">
        <v>109</v>
      </c>
      <c r="C25" s="11">
        <v>326</v>
      </c>
      <c r="D25" s="11" t="s">
        <v>110</v>
      </c>
      <c r="E25" s="12" t="s">
        <v>111</v>
      </c>
      <c r="F25" s="12" t="s">
        <v>112</v>
      </c>
      <c r="G25" s="11" t="s">
        <v>113</v>
      </c>
      <c r="H25" s="11"/>
      <c r="I25" s="11"/>
      <c r="J25" s="11">
        <v>107</v>
      </c>
      <c r="K25" s="11">
        <v>54</v>
      </c>
      <c r="L25" s="12">
        <v>49.39</v>
      </c>
    </row>
    <row r="26" spans="1:12" x14ac:dyDescent="0.35">
      <c r="B26" s="11"/>
      <c r="C26" s="11"/>
      <c r="D26" s="11"/>
      <c r="E26" s="12"/>
      <c r="F26" s="12"/>
      <c r="G26" s="11"/>
      <c r="H26" s="11"/>
      <c r="I26" s="11"/>
      <c r="J26" s="11"/>
      <c r="K26" s="11"/>
      <c r="L26" s="12"/>
    </row>
    <row r="27" spans="1:12" x14ac:dyDescent="0.35">
      <c r="B27" s="11"/>
      <c r="C27" s="11"/>
      <c r="D27" s="11"/>
      <c r="E27" s="11"/>
      <c r="F27" s="11"/>
      <c r="G27" s="11" t="s">
        <v>114</v>
      </c>
      <c r="H27" s="11"/>
      <c r="I27" s="11">
        <f>SUM(I6:I25)</f>
        <v>386</v>
      </c>
      <c r="J27" s="11">
        <f t="shared" ref="J27:K27" si="0">SUM(J6:J25)</f>
        <v>1884</v>
      </c>
      <c r="K27" s="11">
        <f t="shared" si="0"/>
        <v>1406</v>
      </c>
      <c r="L27" s="11"/>
    </row>
    <row r="28" spans="1:12" x14ac:dyDescent="0.35">
      <c r="A28" s="4" t="s">
        <v>4</v>
      </c>
      <c r="B28" s="4"/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 spans="1:12" x14ac:dyDescent="0.35">
      <c r="A29" s="6" t="s">
        <v>5</v>
      </c>
      <c r="B29" s="6" t="s">
        <v>2</v>
      </c>
      <c r="C29" s="6" t="s">
        <v>3</v>
      </c>
      <c r="D29" s="6" t="s">
        <v>6</v>
      </c>
      <c r="E29" s="6" t="s">
        <v>7</v>
      </c>
      <c r="F29" s="6" t="s">
        <v>8</v>
      </c>
      <c r="G29" s="6" t="s">
        <v>9</v>
      </c>
      <c r="H29" s="6" t="s">
        <v>10</v>
      </c>
      <c r="I29" s="7"/>
      <c r="J29" s="7"/>
      <c r="K29" s="7"/>
      <c r="L29" s="8" t="s">
        <v>11</v>
      </c>
    </row>
    <row r="30" spans="1:12" x14ac:dyDescent="0.35">
      <c r="A30" s="6"/>
      <c r="B30" s="6"/>
      <c r="C30" s="6"/>
      <c r="D30" s="6"/>
      <c r="E30" s="6"/>
      <c r="F30" s="6"/>
      <c r="G30" s="6"/>
      <c r="H30" s="9">
        <v>2023</v>
      </c>
      <c r="I30" s="9">
        <v>2024</v>
      </c>
      <c r="J30" s="9">
        <v>2025</v>
      </c>
      <c r="K30" s="9" t="s">
        <v>13</v>
      </c>
      <c r="L30" s="10"/>
    </row>
    <row r="31" spans="1:12" x14ac:dyDescent="0.35">
      <c r="A31" s="2">
        <v>1</v>
      </c>
      <c r="B31" s="12" t="s">
        <v>115</v>
      </c>
      <c r="C31" s="11">
        <v>50</v>
      </c>
      <c r="D31" s="11" t="s">
        <v>116</v>
      </c>
      <c r="E31" s="12" t="s">
        <v>117</v>
      </c>
      <c r="F31" s="12" t="s">
        <v>118</v>
      </c>
      <c r="G31" s="11" t="s">
        <v>72</v>
      </c>
      <c r="H31" s="11"/>
      <c r="I31" s="11">
        <v>20</v>
      </c>
      <c r="J31" s="11">
        <v>20</v>
      </c>
      <c r="K31" s="11">
        <v>10</v>
      </c>
      <c r="L31" s="12">
        <v>100</v>
      </c>
    </row>
    <row r="32" spans="1:12" x14ac:dyDescent="0.35">
      <c r="A32" s="2">
        <v>2</v>
      </c>
      <c r="B32" s="12" t="s">
        <v>119</v>
      </c>
      <c r="C32" s="11">
        <v>18</v>
      </c>
      <c r="D32" s="11" t="s">
        <v>120</v>
      </c>
      <c r="E32" s="13" t="s">
        <v>121</v>
      </c>
      <c r="F32" s="12" t="s">
        <v>122</v>
      </c>
      <c r="G32" s="11" t="s">
        <v>72</v>
      </c>
      <c r="H32" s="11"/>
      <c r="I32" s="11">
        <v>7</v>
      </c>
      <c r="J32" s="11">
        <v>7</v>
      </c>
      <c r="K32" s="11">
        <v>3</v>
      </c>
      <c r="L32" s="12" t="s">
        <v>123</v>
      </c>
    </row>
    <row r="33" spans="1:12" x14ac:dyDescent="0.35">
      <c r="A33" s="2">
        <v>3</v>
      </c>
      <c r="B33" s="12" t="s">
        <v>124</v>
      </c>
      <c r="C33" s="11">
        <v>239</v>
      </c>
      <c r="D33" s="14" t="s">
        <v>125</v>
      </c>
      <c r="E33" s="12" t="s">
        <v>126</v>
      </c>
      <c r="F33" s="12" t="s">
        <v>127</v>
      </c>
      <c r="G33" s="11" t="s">
        <v>128</v>
      </c>
      <c r="H33" s="11"/>
      <c r="I33" s="11">
        <v>8</v>
      </c>
      <c r="J33" s="11">
        <v>16</v>
      </c>
      <c r="K33" s="11">
        <v>8</v>
      </c>
      <c r="L33" s="12">
        <v>13.39</v>
      </c>
    </row>
    <row r="34" spans="1:12" x14ac:dyDescent="0.35">
      <c r="B34" s="15"/>
      <c r="C34" s="11"/>
      <c r="D34" s="11"/>
      <c r="E34" s="12"/>
      <c r="F34" s="12"/>
      <c r="G34" s="11"/>
      <c r="H34" s="11"/>
      <c r="I34" s="11"/>
      <c r="J34" s="11"/>
      <c r="K34" s="11"/>
      <c r="L34" s="12"/>
    </row>
    <row r="35" spans="1:12" x14ac:dyDescent="0.35">
      <c r="B35" s="11"/>
      <c r="C35" s="11"/>
      <c r="D35" s="11"/>
      <c r="E35" s="11"/>
      <c r="F35" s="11"/>
      <c r="G35" s="11" t="s">
        <v>114</v>
      </c>
      <c r="H35" s="11"/>
      <c r="I35" s="11">
        <f>SUM(I31:I33)</f>
        <v>35</v>
      </c>
      <c r="J35" s="11">
        <f t="shared" ref="J35:K35" si="1">SUM(J31:J33)</f>
        <v>43</v>
      </c>
      <c r="K35" s="11">
        <f t="shared" si="1"/>
        <v>21</v>
      </c>
      <c r="L35" s="11"/>
    </row>
    <row r="36" spans="1:12" x14ac:dyDescent="0.35">
      <c r="B36" s="11"/>
      <c r="C36" s="11"/>
      <c r="D36" s="11"/>
      <c r="E36" s="12"/>
      <c r="F36" s="12"/>
      <c r="G36" s="11"/>
      <c r="H36" s="11"/>
      <c r="I36" s="11"/>
      <c r="J36" s="11"/>
      <c r="K36" s="11"/>
      <c r="L36" s="12"/>
    </row>
    <row r="37" spans="1:12" x14ac:dyDescent="0.35">
      <c r="B37" s="11"/>
      <c r="C37" s="11"/>
      <c r="D37" s="11"/>
      <c r="E37" s="12"/>
      <c r="F37" s="12"/>
      <c r="G37" s="11" t="s">
        <v>129</v>
      </c>
      <c r="H37" s="11"/>
      <c r="I37" s="11">
        <f>I27+I35</f>
        <v>421</v>
      </c>
      <c r="J37" s="11">
        <f t="shared" ref="J37:K37" si="2">J27+J35</f>
        <v>1927</v>
      </c>
      <c r="K37" s="11">
        <f t="shared" si="2"/>
        <v>1427</v>
      </c>
      <c r="L37" s="12"/>
    </row>
    <row r="38" spans="1:12" x14ac:dyDescent="0.35">
      <c r="B38" s="11"/>
      <c r="C38" s="11"/>
      <c r="D38" s="11"/>
      <c r="E38" s="12"/>
      <c r="F38" s="12"/>
      <c r="G38" s="11"/>
      <c r="H38" s="11"/>
      <c r="I38" s="11"/>
      <c r="J38" s="11"/>
      <c r="K38" s="11"/>
      <c r="L38" s="12"/>
    </row>
  </sheetData>
  <mergeCells count="21">
    <mergeCell ref="G29:G30"/>
    <mergeCell ref="H29:K29"/>
    <mergeCell ref="L29:L30"/>
    <mergeCell ref="A29:A30"/>
    <mergeCell ref="B29:B30"/>
    <mergeCell ref="C29:C30"/>
    <mergeCell ref="D29:D30"/>
    <mergeCell ref="E29:E30"/>
    <mergeCell ref="F29:F30"/>
    <mergeCell ref="F4:F5"/>
    <mergeCell ref="G4:G5"/>
    <mergeCell ref="H4:K4"/>
    <mergeCell ref="L4:L5"/>
    <mergeCell ref="M4:M5"/>
    <mergeCell ref="A28:B28"/>
    <mergeCell ref="A3:B3"/>
    <mergeCell ref="A4:A5"/>
    <mergeCell ref="B4:B5"/>
    <mergeCell ref="C4:C5"/>
    <mergeCell ref="D4:D5"/>
    <mergeCell ref="E4:E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Kow @ Penang</dc:creator>
  <cp:lastModifiedBy>Brandon Kow @ Penang</cp:lastModifiedBy>
  <dcterms:created xsi:type="dcterms:W3CDTF">2026-05-19T02:35:43Z</dcterms:created>
  <dcterms:modified xsi:type="dcterms:W3CDTF">2026-05-19T02:37:05Z</dcterms:modified>
</cp:coreProperties>
</file>